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d\Desktop\desktop\HEXA project\Project files\BOM\"/>
    </mc:Choice>
  </mc:AlternateContent>
  <xr:revisionPtr revIDLastSave="0" documentId="13_ncr:1_{249B1D4C-C9F8-4E26-8088-71D8860F96EE}" xr6:coauthVersionLast="47" xr6:coauthVersionMax="47" xr10:uidLastSave="{00000000-0000-0000-0000-000000000000}"/>
  <bookViews>
    <workbookView xWindow="-120" yWindow="-120" windowWidth="29040" windowHeight="15840" xr2:uid="{3BDDC0C4-B9E7-4AD8-ADA3-05483B08F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F7" i="1"/>
  <c r="F19" i="1"/>
  <c r="F20" i="1"/>
  <c r="C3" i="1"/>
  <c r="C35" i="1"/>
  <c r="C8" i="1"/>
  <c r="C9" i="1"/>
  <c r="C6" i="1"/>
  <c r="C39" i="1"/>
  <c r="C34" i="1"/>
  <c r="C33" i="1"/>
  <c r="C32" i="1"/>
  <c r="C29" i="1"/>
  <c r="C31" i="1"/>
  <c r="C30" i="1"/>
  <c r="C28" i="1"/>
  <c r="C27" i="1"/>
  <c r="C26" i="1"/>
  <c r="C25" i="1"/>
  <c r="C41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7" i="1"/>
  <c r="C10" i="1"/>
  <c r="C5" i="1"/>
  <c r="C4" i="1"/>
  <c r="F48" i="1" l="1"/>
  <c r="F51" i="1" s="1"/>
</calcChain>
</file>

<file path=xl/sharedStrings.xml><?xml version="1.0" encoding="utf-8"?>
<sst xmlns="http://schemas.openxmlformats.org/spreadsheetml/2006/main" count="98" uniqueCount="89">
  <si>
    <t>Part name</t>
  </si>
  <si>
    <t>Used for</t>
  </si>
  <si>
    <t>Link</t>
  </si>
  <si>
    <t>Quantity</t>
  </si>
  <si>
    <t>Hexapod power</t>
  </si>
  <si>
    <t>Voniko 9V Batteries</t>
  </si>
  <si>
    <t>Remote power</t>
  </si>
  <si>
    <t xml:space="preserve">Zeee 2s Lipo 5200mA </t>
  </si>
  <si>
    <t>The Lipo on amazon is a two-pack for convenience but you can spend half for a single</t>
  </si>
  <si>
    <t>Servo &amp; servo head mounting</t>
  </si>
  <si>
    <t>2x4 female Pin header</t>
  </si>
  <si>
    <t>For the PCB NRF module</t>
  </si>
  <si>
    <t>get one 100 pack for each</t>
  </si>
  <si>
    <t>T male plug</t>
  </si>
  <si>
    <t>Connecting the Lipo to hexapod</t>
  </si>
  <si>
    <t>9v Barrel jack</t>
  </si>
  <si>
    <t>For powering PCB</t>
  </si>
  <si>
    <t>RK097 B10k potentiometer</t>
  </si>
  <si>
    <t>For PCB</t>
  </si>
  <si>
    <t>(comes in 2 pack)</t>
  </si>
  <si>
    <t>For servo controller</t>
  </si>
  <si>
    <t>1x6 90 degree male pin row</t>
  </si>
  <si>
    <t>1x15 female pin header</t>
  </si>
  <si>
    <t>For PCB arduino mounting</t>
  </si>
  <si>
    <t>For hexapod servo wires</t>
  </si>
  <si>
    <t>10mm OD x 3m</t>
  </si>
  <si>
    <t>Remote power switch</t>
  </si>
  <si>
    <t>SS12D00 SPDT 3 pin slide switch</t>
  </si>
  <si>
    <t>For servo callibration</t>
  </si>
  <si>
    <t>3 Modes Servo Tester Digital</t>
  </si>
  <si>
    <t>PCA9685PW 16 Channel controller</t>
  </si>
  <si>
    <t>For servo control</t>
  </si>
  <si>
    <t>NRF24L01+PA+LNA</t>
  </si>
  <si>
    <t>Tranceiver module</t>
  </si>
  <si>
    <t>Price/Unit</t>
  </si>
  <si>
    <t>Total</t>
  </si>
  <si>
    <t>1 Channel 5V Relay</t>
  </si>
  <si>
    <t>Relay</t>
  </si>
  <si>
    <t>Battery Low Alarm Buzzer</t>
  </si>
  <si>
    <t>Rings when lipo is too low</t>
  </si>
  <si>
    <t>NRF24L01 SOCKET</t>
  </si>
  <si>
    <t>NRF PWR adapter soket</t>
  </si>
  <si>
    <t>Arduino nano</t>
  </si>
  <si>
    <t>Custom PCB</t>
  </si>
  <si>
    <t>Remote</t>
  </si>
  <si>
    <t>Capacitors (pack)</t>
  </si>
  <si>
    <t>10uf on NRF, 470uf on hexapod arduino</t>
  </si>
  <si>
    <t>Joystick</t>
  </si>
  <si>
    <t>Joystick for remote</t>
  </si>
  <si>
    <t>6x6x5mm buttons</t>
  </si>
  <si>
    <t>Buttons for remote</t>
  </si>
  <si>
    <t>Pick the 2PCS 7A UBEC</t>
  </si>
  <si>
    <t>5V 7A UBEC</t>
  </si>
  <si>
    <t>For stable/usable Lipo voltage</t>
  </si>
  <si>
    <t>Total:</t>
  </si>
  <si>
    <t>After tax:</t>
  </si>
  <si>
    <t>GST</t>
  </si>
  <si>
    <t>QST</t>
  </si>
  <si>
    <t>Based on 
Canadian tax</t>
  </si>
  <si>
    <t>Additonal shipping is not calculated
Aliexpress' is free anyways</t>
  </si>
  <si>
    <t>For hexapod wiring</t>
  </si>
  <si>
    <t>black/red pair, 1m</t>
  </si>
  <si>
    <t>22 AWG tinned silicone wire</t>
  </si>
  <si>
    <t>16AWG tinned silicone wire</t>
  </si>
  <si>
    <t>Can use any</t>
  </si>
  <si>
    <t>1gk PLA spool</t>
  </si>
  <si>
    <t>5V 3A UBEC (hexapod MCU boards)</t>
  </si>
  <si>
    <t>10c 40pcs FF dupont cable</t>
  </si>
  <si>
    <t>For NRF on hexapod</t>
  </si>
  <si>
    <t>Rubber tips for legs</t>
  </si>
  <si>
    <t>ID must be 8mm or 5/16 inches</t>
  </si>
  <si>
    <t>MG996R servo motors (x16)</t>
  </si>
  <si>
    <t>Alibaba is cheapest with 2 extra servos</t>
  </si>
  <si>
    <t>20 ( two packs of 10 )</t>
  </si>
  <si>
    <t>M2 locknuts</t>
  </si>
  <si>
    <t>M3 square nuts</t>
  </si>
  <si>
    <t>get the 50 pack twice</t>
  </si>
  <si>
    <t>M2x8mm</t>
  </si>
  <si>
    <t>get a 50 pack</t>
  </si>
  <si>
    <t>get two 50 packs</t>
  </si>
  <si>
    <t>M3x35mm</t>
  </si>
  <si>
    <t>M3x25mm</t>
  </si>
  <si>
    <t>1, I will fund second colour</t>
  </si>
  <si>
    <t>SMA female jack</t>
  </si>
  <si>
    <t>SMA female front</t>
  </si>
  <si>
    <t>243.58$ USD</t>
  </si>
  <si>
    <t>M2x10mm</t>
  </si>
  <si>
    <t>Friction cap mounting</t>
  </si>
  <si>
    <t>get a 50 packs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</si>
</sst>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2" xfId="0" applyFont="1" applyBorder="1"/>
    <xf numFmtId="0" fontId="0" fillId="0" borderId="2" xfId="0" applyBorder="1"/>
    <xf numFmtId="0" fontId="2" fillId="0" borderId="2" xfId="1" applyBorder="1"/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9" fontId="0" fillId="0" borderId="2" xfId="0" applyNumberFormat="1" applyBorder="1"/>
    <xf numFmtId="164" fontId="4" fillId="0" borderId="0" xfId="0" applyNumberFormat="1" applyFont="1"/>
    <xf numFmtId="0" fontId="5" fillId="0" borderId="2" xfId="1" applyFont="1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065C-885E-4962-B077-511204CFBD02}">
  <dimension ref="A1:I54"/>
  <sheetViews>
    <sheetView tabSelected="1" topLeftCell="A5" zoomScaleNormal="100" workbookViewId="0">
      <selection activeCell="A41" sqref="A2:A41"/>
    </sheetView>
  </sheetViews>
  <sheetFormatPr defaultRowHeight="15" x14ac:dyDescent="0.25"/>
  <cols>
    <col min="1" max="1" width="31.28515625" customWidth="1"/>
    <col min="2" max="2" width="36" customWidth="1"/>
    <col min="3" max="3" width="15.85546875" customWidth="1"/>
    <col min="4" max="4" width="26" customWidth="1"/>
    <col min="5" max="5" width="9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</row>
    <row r="2" spans="1:9" x14ac:dyDescent="0.25">
      <c r="A2" s="30" t="s">
        <v>86</v>
      </c>
      <c r="B2" s="2" t="s">
        <v>87</v>
      </c>
      <c r="C2" s="3" t="str">
        <f>HYPERLINK("https://www.aliexpress.com/item/32810872544.html", "Aliexpress")</f>
        <v>Aliexpress</v>
      </c>
      <c r="D2" s="2" t="s">
        <v>88</v>
      </c>
      <c r="E2" s="2">
        <v>2.19</v>
      </c>
      <c r="F2" s="4">
        <v>2.19</v>
      </c>
      <c r="G2" s="4"/>
    </row>
    <row r="3" spans="1:9" x14ac:dyDescent="0.25">
      <c r="A3" s="30" t="s">
        <v>7</v>
      </c>
      <c r="B3" s="2" t="s">
        <v>4</v>
      </c>
      <c r="C3" s="3" t="str">
        <f>HYPERLINK("https://www.amazon.ca/gp/product/B08B148D8S", "Amazon")</f>
        <v>Amazon</v>
      </c>
      <c r="D3" s="2">
        <v>1</v>
      </c>
      <c r="E3" s="2"/>
      <c r="F3" s="4">
        <v>28.99</v>
      </c>
      <c r="G3" s="9" t="s">
        <v>8</v>
      </c>
      <c r="H3" s="9"/>
      <c r="I3" s="10"/>
    </row>
    <row r="4" spans="1:9" x14ac:dyDescent="0.25">
      <c r="A4" s="30" t="s">
        <v>5</v>
      </c>
      <c r="B4" s="2" t="s">
        <v>6</v>
      </c>
      <c r="C4" s="3" t="str">
        <f>HYPERLINK("https://www.amazon.ca/gp/product/B07RZ9PMQH", "Amazon")</f>
        <v>Amazon</v>
      </c>
      <c r="D4" s="2">
        <v>1</v>
      </c>
      <c r="E4" s="2"/>
      <c r="F4" s="4">
        <v>8.99</v>
      </c>
      <c r="G4" s="11"/>
      <c r="H4" s="11"/>
      <c r="I4" s="12"/>
    </row>
    <row r="5" spans="1:9" x14ac:dyDescent="0.25">
      <c r="A5" s="30" t="s">
        <v>74</v>
      </c>
      <c r="B5" s="2" t="s">
        <v>9</v>
      </c>
      <c r="C5" s="3" t="str">
        <f>HYPERLINK("https://www.aliexpress.com/item/32798773566.html", "Aliexpress")</f>
        <v>Aliexpress</v>
      </c>
      <c r="D5" s="2" t="s">
        <v>76</v>
      </c>
      <c r="E5" s="4"/>
      <c r="F5" s="4">
        <v>14.82</v>
      </c>
      <c r="G5" s="13"/>
      <c r="H5" s="13"/>
      <c r="I5" s="14"/>
    </row>
    <row r="6" spans="1:9" x14ac:dyDescent="0.25">
      <c r="A6" s="30" t="s">
        <v>75</v>
      </c>
      <c r="B6" s="2" t="s">
        <v>9</v>
      </c>
      <c r="C6" s="3" t="str">
        <f>HYPERLINK("https://www.aliexpress.com/item/1005001612157787.html", "Aliexpress")</f>
        <v>Aliexpress</v>
      </c>
      <c r="D6" s="2" t="s">
        <v>12</v>
      </c>
      <c r="E6" s="4">
        <v>3.26</v>
      </c>
      <c r="F6" s="4">
        <v>6.52</v>
      </c>
    </row>
    <row r="7" spans="1:9" x14ac:dyDescent="0.25">
      <c r="A7" s="30" t="s">
        <v>77</v>
      </c>
      <c r="B7" s="2" t="s">
        <v>9</v>
      </c>
      <c r="C7" s="3" t="str">
        <f>HYPERLINK("https://www.aliexpress.com/item/32810872544.html", "Aliexpress")</f>
        <v>Aliexpress</v>
      </c>
      <c r="D7" s="2" t="s">
        <v>79</v>
      </c>
      <c r="E7" s="2">
        <v>1.92</v>
      </c>
      <c r="F7" s="4">
        <f>E7*2</f>
        <v>3.84</v>
      </c>
    </row>
    <row r="8" spans="1:9" x14ac:dyDescent="0.25">
      <c r="A8" s="30" t="s">
        <v>81</v>
      </c>
      <c r="B8" s="2" t="s">
        <v>9</v>
      </c>
      <c r="C8" s="3" t="str">
        <f t="shared" ref="C8:C9" si="0">HYPERLINK("https://www.aliexpress.com/item/32810872544.html", "Aliexpress")</f>
        <v>Aliexpress</v>
      </c>
      <c r="D8" s="2" t="s">
        <v>78</v>
      </c>
      <c r="E8" s="2">
        <v>3.52</v>
      </c>
      <c r="F8" s="2">
        <v>3.52</v>
      </c>
    </row>
    <row r="9" spans="1:9" x14ac:dyDescent="0.25">
      <c r="A9" s="30" t="s">
        <v>80</v>
      </c>
      <c r="B9" s="2" t="s">
        <v>9</v>
      </c>
      <c r="C9" s="3" t="str">
        <f t="shared" si="0"/>
        <v>Aliexpress</v>
      </c>
      <c r="D9" s="2" t="s">
        <v>78</v>
      </c>
      <c r="E9" s="2">
        <v>3.94</v>
      </c>
      <c r="F9" s="2">
        <v>3.94</v>
      </c>
    </row>
    <row r="10" spans="1:9" x14ac:dyDescent="0.25">
      <c r="A10" s="30" t="s">
        <v>10</v>
      </c>
      <c r="B10" s="2" t="s">
        <v>11</v>
      </c>
      <c r="C10" s="3" t="str">
        <f>HYPERLINK("https://www.aliexpress.com/item/33004522737.htm", "Aliexpress")</f>
        <v>Aliexpress</v>
      </c>
      <c r="D10" s="2">
        <v>1</v>
      </c>
      <c r="E10" s="2"/>
      <c r="F10" s="4">
        <v>2.81</v>
      </c>
      <c r="G10" s="15" t="s">
        <v>19</v>
      </c>
      <c r="H10" s="16"/>
    </row>
    <row r="11" spans="1:9" x14ac:dyDescent="0.25">
      <c r="A11" s="30" t="s">
        <v>13</v>
      </c>
      <c r="B11" s="2" t="s">
        <v>14</v>
      </c>
      <c r="C11" s="3" t="str">
        <f>HYPERLINK("https://www.aliexpress.com/item/1005006840459578.html", "Aliexpress")</f>
        <v>Aliexpress</v>
      </c>
      <c r="D11" s="2">
        <v>1</v>
      </c>
      <c r="E11" s="2"/>
      <c r="F11" s="4">
        <v>2.72</v>
      </c>
    </row>
    <row r="12" spans="1:9" x14ac:dyDescent="0.25">
      <c r="A12" s="30" t="s">
        <v>15</v>
      </c>
      <c r="B12" s="2" t="s">
        <v>16</v>
      </c>
      <c r="C12" s="3" t="str">
        <f>HYPERLINK("https://www.aliexpress.com/item/33005175186.html", "Aliexpress")</f>
        <v>Aliexpress</v>
      </c>
      <c r="D12" s="2">
        <v>1</v>
      </c>
      <c r="E12" s="2"/>
      <c r="F12" s="4">
        <v>2.4500000000000002</v>
      </c>
    </row>
    <row r="13" spans="1:9" x14ac:dyDescent="0.25">
      <c r="A13" s="30" t="s">
        <v>17</v>
      </c>
      <c r="B13" s="2" t="s">
        <v>18</v>
      </c>
      <c r="C13" s="3" t="str">
        <f>HYPERLINK("https://www.aliexpress.com/item/1005010063122061.html", "Aliexpress")</f>
        <v>Aliexpress</v>
      </c>
      <c r="D13" s="2">
        <v>1</v>
      </c>
      <c r="E13" s="2"/>
      <c r="F13" s="4">
        <v>2.95</v>
      </c>
    </row>
    <row r="14" spans="1:9" x14ac:dyDescent="0.25">
      <c r="A14" s="30" t="s">
        <v>21</v>
      </c>
      <c r="B14" s="2" t="s">
        <v>20</v>
      </c>
      <c r="C14" s="3" t="str">
        <f>HYPERLINK("https://www.aliexpress.com/item/1005007569841697.html", "Aliexpress")</f>
        <v>Aliexpress</v>
      </c>
      <c r="D14" s="2">
        <v>1</v>
      </c>
      <c r="E14" s="2"/>
      <c r="F14" s="4">
        <v>1.69</v>
      </c>
    </row>
    <row r="15" spans="1:9" x14ac:dyDescent="0.25">
      <c r="A15" s="30" t="s">
        <v>22</v>
      </c>
      <c r="B15" s="2" t="s">
        <v>23</v>
      </c>
      <c r="C15" s="3" t="str">
        <f>HYPERLINK("https://www.aliexpress.com/item/4001198421663.html", "Aliexpress")</f>
        <v>Aliexpress</v>
      </c>
      <c r="D15" s="2">
        <v>1</v>
      </c>
      <c r="E15" s="2"/>
      <c r="F15" s="4">
        <v>2.63</v>
      </c>
    </row>
    <row r="16" spans="1:9" x14ac:dyDescent="0.25">
      <c r="A16" s="30" t="s">
        <v>25</v>
      </c>
      <c r="B16" s="2" t="s">
        <v>24</v>
      </c>
      <c r="C16" s="3" t="str">
        <f>HYPERLINK("https://www.aliexpress.com/item/1005005188505524.html", "Aliexpress")</f>
        <v>Aliexpress</v>
      </c>
      <c r="D16" s="2">
        <v>1</v>
      </c>
      <c r="E16" s="2"/>
      <c r="F16" s="4">
        <v>5.25</v>
      </c>
    </row>
    <row r="17" spans="1:6" x14ac:dyDescent="0.25">
      <c r="A17" s="30" t="s">
        <v>27</v>
      </c>
      <c r="B17" s="2" t="s">
        <v>26</v>
      </c>
      <c r="C17" s="3" t="str">
        <f>HYPERLINK("https://www.aliexpress.com/item/1005007162182882.html", "Aliexpress")</f>
        <v>Aliexpress</v>
      </c>
      <c r="D17" s="2">
        <v>1</v>
      </c>
      <c r="E17" s="2"/>
      <c r="F17" s="4">
        <v>3.36</v>
      </c>
    </row>
    <row r="18" spans="1:6" x14ac:dyDescent="0.25">
      <c r="A18" s="30" t="s">
        <v>29</v>
      </c>
      <c r="B18" s="2" t="s">
        <v>28</v>
      </c>
      <c r="C18" s="8" t="str">
        <f>HYPERLINK("https://www.aliexpress.com/item/1005002192090659.html", "Aliexpress")</f>
        <v>Aliexpress</v>
      </c>
      <c r="D18" s="2">
        <v>1</v>
      </c>
      <c r="E18" s="2"/>
      <c r="F18" s="4">
        <v>7.29</v>
      </c>
    </row>
    <row r="19" spans="1:6" x14ac:dyDescent="0.25">
      <c r="A19" s="30" t="s">
        <v>30</v>
      </c>
      <c r="B19" s="2" t="s">
        <v>31</v>
      </c>
      <c r="C19" s="3" t="str">
        <f>HYPERLINK("https://www.aliexpress.com/item/1005004959076770.html", "Aliexpress")</f>
        <v>Aliexpress</v>
      </c>
      <c r="D19" s="2">
        <v>2</v>
      </c>
      <c r="E19" s="4">
        <v>3.69</v>
      </c>
      <c r="F19" s="4">
        <f>SUM(E19*D19)</f>
        <v>7.38</v>
      </c>
    </row>
    <row r="20" spans="1:6" x14ac:dyDescent="0.25">
      <c r="A20" s="30" t="s">
        <v>32</v>
      </c>
      <c r="B20" s="2" t="s">
        <v>33</v>
      </c>
      <c r="C20" s="3" t="str">
        <f>HYPERLINK("https://www.aliexpress.com/item/1005007038556192.html", "Aliexpress")</f>
        <v>Aliexpress</v>
      </c>
      <c r="D20" s="2">
        <v>2</v>
      </c>
      <c r="E20" s="4">
        <v>4.7300000000000004</v>
      </c>
      <c r="F20" s="4">
        <f>SUM(E20*D20)</f>
        <v>9.4600000000000009</v>
      </c>
    </row>
    <row r="21" spans="1:6" x14ac:dyDescent="0.25">
      <c r="A21" s="30" t="s">
        <v>36</v>
      </c>
      <c r="B21" s="2" t="s">
        <v>37</v>
      </c>
      <c r="C21" s="3" t="str">
        <f>HYPERLINK("https://www.aliexpress.com/item/1005007010336494.html", "Aliexpress")</f>
        <v>Aliexpress</v>
      </c>
      <c r="D21" s="2">
        <v>2</v>
      </c>
      <c r="E21" s="4">
        <v>4.29</v>
      </c>
      <c r="F21" s="4">
        <v>8.59</v>
      </c>
    </row>
    <row r="22" spans="1:6" x14ac:dyDescent="0.25">
      <c r="A22" s="30" t="s">
        <v>38</v>
      </c>
      <c r="B22" s="2" t="s">
        <v>39</v>
      </c>
      <c r="C22" s="3" t="str">
        <f>HYPERLINK("https://www.aliexpress.com/item/32723129432.html", "Aliexpress")</f>
        <v>Aliexpress</v>
      </c>
      <c r="D22" s="2">
        <v>1</v>
      </c>
      <c r="E22" s="4"/>
      <c r="F22" s="2">
        <v>3.19</v>
      </c>
    </row>
    <row r="23" spans="1:6" x14ac:dyDescent="0.25">
      <c r="A23" s="30" t="s">
        <v>40</v>
      </c>
      <c r="B23" s="2" t="s">
        <v>41</v>
      </c>
      <c r="C23" s="3" t="str">
        <f>HYPERLINK("https://www.aliexpress.com/item/1005005682218502.html", "Aliexpress")</f>
        <v>Aliexpress</v>
      </c>
      <c r="D23" s="2">
        <v>1</v>
      </c>
      <c r="E23" s="4"/>
      <c r="F23" s="4">
        <v>1.79</v>
      </c>
    </row>
    <row r="24" spans="1:6" x14ac:dyDescent="0.25">
      <c r="A24" s="30" t="s">
        <v>42</v>
      </c>
      <c r="B24" s="2" t="s">
        <v>42</v>
      </c>
      <c r="C24" s="3" t="str">
        <f>HYPERLINK("https://www.aliexpress.com/item/1005006716897717.html", "Aliexpress")</f>
        <v>Aliexpress</v>
      </c>
      <c r="D24" s="2">
        <v>2</v>
      </c>
      <c r="E24" s="4">
        <v>4.34</v>
      </c>
      <c r="F24" s="4">
        <v>8.68</v>
      </c>
    </row>
    <row r="25" spans="1:6" x14ac:dyDescent="0.25">
      <c r="A25" s="30" t="s">
        <v>45</v>
      </c>
      <c r="B25" s="2" t="s">
        <v>46</v>
      </c>
      <c r="C25" s="3" t="str">
        <f>HYPERLINK("https://www.aliexpress.com/item/1005009888050325.html", "Aliexpress")</f>
        <v>Aliexpress</v>
      </c>
      <c r="D25" s="2">
        <v>1</v>
      </c>
      <c r="E25" s="4"/>
      <c r="F25" s="2">
        <v>7.29</v>
      </c>
    </row>
    <row r="26" spans="1:6" x14ac:dyDescent="0.25">
      <c r="A26" s="30" t="s">
        <v>47</v>
      </c>
      <c r="B26" s="2" t="s">
        <v>48</v>
      </c>
      <c r="C26" s="3" t="str">
        <f>HYPERLINK("https://www.aliexpress.com/item/1005007344026383.html", "Aliexpress")</f>
        <v>Aliexpress</v>
      </c>
      <c r="D26" s="2">
        <v>1</v>
      </c>
      <c r="E26" s="4"/>
      <c r="F26" s="4">
        <v>1.76</v>
      </c>
    </row>
    <row r="27" spans="1:6" x14ac:dyDescent="0.25">
      <c r="A27" s="30" t="s">
        <v>49</v>
      </c>
      <c r="B27" s="2" t="s">
        <v>50</v>
      </c>
      <c r="C27" s="3" t="str">
        <f>HYPERLINK("https://www.aliexpress.com/item/4001166999847.html", "Aliexpress")</f>
        <v>Aliexpress</v>
      </c>
      <c r="D27" s="2">
        <v>1</v>
      </c>
      <c r="E27" s="4"/>
      <c r="F27" s="4">
        <v>2.17</v>
      </c>
    </row>
    <row r="28" spans="1:6" ht="15" customHeight="1" x14ac:dyDescent="0.25">
      <c r="A28" s="30" t="s">
        <v>52</v>
      </c>
      <c r="B28" s="2" t="s">
        <v>53</v>
      </c>
      <c r="C28" s="3" t="str">
        <f>HYPERLINK("https://www.aliexpress.com/item/1005006414925607.html", "Aliexpress")</f>
        <v>Aliexpress</v>
      </c>
      <c r="D28" s="2" t="s">
        <v>51</v>
      </c>
      <c r="E28" s="2"/>
      <c r="F28" s="4">
        <v>17.579999999999998</v>
      </c>
    </row>
    <row r="29" spans="1:6" x14ac:dyDescent="0.25">
      <c r="A29" s="30" t="s">
        <v>66</v>
      </c>
      <c r="B29" s="2" t="s">
        <v>53</v>
      </c>
      <c r="C29" s="3" t="str">
        <f>HYPERLINK("https://www.aliexpress.com/item/1005006414925607.html", "Aliexpress")</f>
        <v>Aliexpress</v>
      </c>
      <c r="D29" s="2">
        <v>1</v>
      </c>
      <c r="E29" s="2"/>
      <c r="F29" s="4">
        <v>6.99</v>
      </c>
    </row>
    <row r="30" spans="1:6" ht="15" customHeight="1" x14ac:dyDescent="0.25">
      <c r="A30" s="30" t="s">
        <v>63</v>
      </c>
      <c r="B30" s="2" t="s">
        <v>60</v>
      </c>
      <c r="C30" s="3" t="str">
        <f>HYPERLINK("https://www.aliexpress.com/item/1005003058991433.html", "Aliexpress")</f>
        <v>Aliexpress</v>
      </c>
      <c r="D30" s="2" t="s">
        <v>61</v>
      </c>
      <c r="E30" s="2"/>
      <c r="F30" s="4">
        <v>12.58</v>
      </c>
    </row>
    <row r="31" spans="1:6" x14ac:dyDescent="0.25">
      <c r="A31" s="30" t="s">
        <v>62</v>
      </c>
      <c r="B31" s="2" t="s">
        <v>60</v>
      </c>
      <c r="C31" s="3" t="str">
        <f>HYPERLINK("https://www.aliexpress.com/item/1005003058991433.html", "Aliexpress")</f>
        <v>Aliexpress</v>
      </c>
      <c r="D31" s="2" t="s">
        <v>61</v>
      </c>
      <c r="E31" s="2"/>
      <c r="F31" s="4">
        <v>10.49</v>
      </c>
    </row>
    <row r="32" spans="1:6" x14ac:dyDescent="0.25">
      <c r="A32" s="30" t="s">
        <v>67</v>
      </c>
      <c r="B32" s="2" t="s">
        <v>68</v>
      </c>
      <c r="C32" s="3" t="str">
        <f>HYPERLINK("https://www.aliexpress.com/item/1005003641187997.html", "Aliexpress")</f>
        <v>Aliexpress</v>
      </c>
      <c r="D32" s="2">
        <v>1</v>
      </c>
      <c r="E32" s="2"/>
      <c r="F32" s="4">
        <v>2.52</v>
      </c>
    </row>
    <row r="33" spans="1:8" x14ac:dyDescent="0.25">
      <c r="A33" s="30" t="s">
        <v>65</v>
      </c>
      <c r="B33" s="2" t="s">
        <v>64</v>
      </c>
      <c r="C33" s="3" t="str">
        <f>HYPERLINK("https://www.amazon.ca/dp/B09T2VFXL3", "Amazon")</f>
        <v>Amazon</v>
      </c>
      <c r="D33" s="2" t="s">
        <v>82</v>
      </c>
      <c r="E33" s="2"/>
      <c r="F33" s="4">
        <v>22.99</v>
      </c>
    </row>
    <row r="34" spans="1:8" ht="15.75" customHeight="1" x14ac:dyDescent="0.25">
      <c r="A34" s="30" t="s">
        <v>69</v>
      </c>
      <c r="B34" s="2" t="s">
        <v>70</v>
      </c>
      <c r="C34" s="3" t="str">
        <f>HYPERLINK("https://www.aliexpress.com/item/1005004887472512.html", "Aliexpress")</f>
        <v>Aliexpress</v>
      </c>
      <c r="D34" s="2">
        <v>1</v>
      </c>
      <c r="E34" s="2"/>
      <c r="F34" s="4">
        <v>3.26</v>
      </c>
    </row>
    <row r="35" spans="1:8" x14ac:dyDescent="0.25">
      <c r="A35" s="30" t="s">
        <v>83</v>
      </c>
      <c r="B35" s="2" t="s">
        <v>84</v>
      </c>
      <c r="C35" s="3" t="str">
        <f>HYPERLINK("https://www.aliexpress.com/item/1005004242324252.html", "Aliexpress")</f>
        <v>Aliexpress</v>
      </c>
      <c r="D35" s="2">
        <v>1</v>
      </c>
      <c r="E35" s="2"/>
      <c r="F35" s="4">
        <v>1.91</v>
      </c>
    </row>
    <row r="36" spans="1:8" ht="12" customHeight="1" x14ac:dyDescent="0.25">
      <c r="A36" s="31"/>
      <c r="F36" s="7"/>
    </row>
    <row r="37" spans="1:8" x14ac:dyDescent="0.25">
      <c r="A37" s="31"/>
      <c r="F37" s="7"/>
    </row>
    <row r="38" spans="1:8" x14ac:dyDescent="0.25">
      <c r="A38" s="31"/>
    </row>
    <row r="39" spans="1:8" x14ac:dyDescent="0.25">
      <c r="A39" s="30" t="s">
        <v>71</v>
      </c>
      <c r="B39" s="2" t="s">
        <v>72</v>
      </c>
      <c r="C39" s="3" t="str">
        <f>HYPERLINK("https://www.aliexpress.com/item/1005004887472512.html", "Alibaba")</f>
        <v>Alibaba</v>
      </c>
      <c r="D39" s="2" t="s">
        <v>73</v>
      </c>
      <c r="E39" s="4">
        <v>2.91</v>
      </c>
      <c r="F39" s="4">
        <v>58.04</v>
      </c>
    </row>
    <row r="40" spans="1:8" x14ac:dyDescent="0.25">
      <c r="A40" s="31"/>
    </row>
    <row r="41" spans="1:8" x14ac:dyDescent="0.25">
      <c r="A41" s="30" t="s">
        <v>43</v>
      </c>
      <c r="B41" s="2" t="s">
        <v>44</v>
      </c>
      <c r="C41" s="3" t="str">
        <f>HYPERLINK("https://cart.jlcpcb.com/quote", "JLCPCB")</f>
        <v>JLCPCB</v>
      </c>
      <c r="D41" s="2">
        <v>1</v>
      </c>
      <c r="E41" s="4"/>
      <c r="F41" s="4">
        <v>9.6</v>
      </c>
    </row>
    <row r="46" spans="1:8" ht="18.75" customHeight="1" x14ac:dyDescent="0.25">
      <c r="E46" s="23" t="s">
        <v>59</v>
      </c>
      <c r="F46" s="23"/>
      <c r="G46" s="23"/>
      <c r="H46" s="23"/>
    </row>
    <row r="47" spans="1:8" x14ac:dyDescent="0.25">
      <c r="E47" s="23"/>
      <c r="F47" s="23"/>
      <c r="G47" s="23"/>
      <c r="H47" s="23"/>
    </row>
    <row r="48" spans="1:8" ht="18" customHeight="1" x14ac:dyDescent="0.25">
      <c r="E48" s="5" t="s">
        <v>54</v>
      </c>
      <c r="F48" s="4">
        <f>SUM(F2:F41)</f>
        <v>300.23</v>
      </c>
      <c r="G48" s="17" t="s">
        <v>58</v>
      </c>
      <c r="H48" s="18"/>
    </row>
    <row r="49" spans="5:8" x14ac:dyDescent="0.25">
      <c r="E49" s="5" t="s">
        <v>56</v>
      </c>
      <c r="F49" s="6">
        <v>0.05</v>
      </c>
      <c r="G49" s="19"/>
      <c r="H49" s="20"/>
    </row>
    <row r="50" spans="5:8" x14ac:dyDescent="0.25">
      <c r="E50" s="5" t="s">
        <v>57</v>
      </c>
      <c r="F50" s="6">
        <v>0.1</v>
      </c>
      <c r="G50" s="19"/>
      <c r="H50" s="20"/>
    </row>
    <row r="51" spans="5:8" x14ac:dyDescent="0.25">
      <c r="E51" s="5" t="s">
        <v>55</v>
      </c>
      <c r="F51" s="4">
        <f>F48*1.15</f>
        <v>345.2645</v>
      </c>
      <c r="G51" s="21"/>
      <c r="H51" s="22"/>
    </row>
    <row r="53" spans="5:8" x14ac:dyDescent="0.25">
      <c r="E53" s="24" t="s">
        <v>85</v>
      </c>
      <c r="F53" s="25"/>
      <c r="G53" s="25"/>
      <c r="H53" s="26"/>
    </row>
    <row r="54" spans="5:8" x14ac:dyDescent="0.25">
      <c r="E54" s="27"/>
      <c r="F54" s="28"/>
      <c r="G54" s="28"/>
      <c r="H54" s="29"/>
    </row>
  </sheetData>
  <mergeCells count="5">
    <mergeCell ref="G3:I5"/>
    <mergeCell ref="G10:H10"/>
    <mergeCell ref="G48:H51"/>
    <mergeCell ref="E46:H47"/>
    <mergeCell ref="E53:H5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Gagnon</dc:creator>
  <cp:lastModifiedBy>Joshua Gagnon</cp:lastModifiedBy>
  <dcterms:created xsi:type="dcterms:W3CDTF">2026-02-28T01:29:22Z</dcterms:created>
  <dcterms:modified xsi:type="dcterms:W3CDTF">2026-04-18T06:14:22Z</dcterms:modified>
</cp:coreProperties>
</file>